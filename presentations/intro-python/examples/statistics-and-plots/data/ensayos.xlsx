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<sst xmlns="http://schemas.openxmlformats.org/spreadsheetml/2006/main" count="101" uniqueCount="17">
  <si>
    <t xml:space="preserve">Ensayo</t>
  </si>
  <si>
    <t xml:space="preserve">Repeticion</t>
  </si>
  <si>
    <t xml:space="preserve">Fase</t>
  </si>
  <si>
    <t xml:space="preserve">Masa Total (g)</t>
  </si>
  <si>
    <t xml:space="preserve">Cantidad AC (g)</t>
  </si>
  <si>
    <t xml:space="preserve">Rendimiento</t>
  </si>
  <si>
    <t xml:space="preserve">Pureza</t>
  </si>
  <si>
    <t xml:space="preserve">Ensayo 1</t>
  </si>
  <si>
    <t xml:space="preserve">Extracto</t>
  </si>
  <si>
    <t xml:space="preserve">---</t>
  </si>
  <si>
    <t xml:space="preserve">Fase Orgánica</t>
  </si>
  <si>
    <t xml:space="preserve">Fase Acuosa</t>
  </si>
  <si>
    <t xml:space="preserve">Ensayo 2</t>
  </si>
  <si>
    <t xml:space="preserve">Insolubles en agua</t>
  </si>
  <si>
    <t xml:space="preserve">Insolubles en ácido</t>
  </si>
  <si>
    <t xml:space="preserve">Ensayo 3</t>
  </si>
  <si>
    <t xml:space="preserve">Ensayo 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</si>
</sst>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4">
    <font>
      <sz val="11"/>
      <color rgb="FF000000"/>
      <name val="FreeSan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D4" activeCellId="0" sqref="D4"/>
    </sheetView>
  </sheetViews>
  <sheetFormatPr defaultColWidth="8.87890625" defaultRowHeight="14.25" zeroHeight="false" outlineLevelRow="0" outlineLevelCol="0"/>
  <cols>
    <col collapsed="false" customWidth="true" hidden="false" outlineLevel="0" max="1" min="1" style="0" width="9.79"/>
    <col collapsed="false" customWidth="true" hidden="false" outlineLevel="0" max="2" min="2" style="0" width="10.05"/>
    <col collapsed="false" customWidth="true" hidden="false" outlineLevel="0" max="3" min="3" style="0" width="17.07"/>
    <col collapsed="false" customWidth="true" hidden="false" outlineLevel="0" max="4" min="4" style="0" width="12.39"/>
    <col collapsed="false" customWidth="true" hidden="false" outlineLevel="0" max="5" min="5" style="0" width="13.57"/>
    <col collapsed="false" customWidth="true" hidden="false" outlineLevel="0" max="6" min="6" style="0" width="11.67"/>
    <col collapsed="false" customWidth="true" hidden="false" outlineLevel="0" max="7" min="7" style="0" width="6.99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4.25" hidden="false" customHeight="false" outlineLevel="0" collapsed="false">
      <c r="A2" s="2" t="s">
        <v>7</v>
      </c>
      <c r="B2" s="3" t="n">
        <v>1</v>
      </c>
      <c r="C2" s="0" t="s">
        <v>8</v>
      </c>
      <c r="D2" s="4" t="s">
        <v>9</v>
      </c>
      <c r="E2" s="5" t="n">
        <f aca="false">0.0308*5.051</f>
        <v>0.1555708</v>
      </c>
      <c r="F2" s="4" t="s">
        <v>9</v>
      </c>
      <c r="G2" s="4" t="s">
        <v>9</v>
      </c>
    </row>
    <row r="3" customFormat="false" ht="14.25" hidden="false" customHeight="false" outlineLevel="0" collapsed="false">
      <c r="A3" s="2" t="s">
        <v>7</v>
      </c>
      <c r="B3" s="6" t="n">
        <v>1</v>
      </c>
      <c r="C3" s="0" t="s">
        <v>10</v>
      </c>
      <c r="D3" s="5" t="n">
        <f aca="false">91.053---90.949</f>
        <v>0.103999999999999</v>
      </c>
      <c r="E3" s="5" t="n">
        <v>0.0095</v>
      </c>
      <c r="F3" s="5" t="n">
        <f aca="false">+E3/$E$2*100</f>
        <v>6.10654441579011</v>
      </c>
      <c r="G3" s="5" t="n">
        <f aca="false">+E3/D3*100</f>
        <v>9.13461538461545</v>
      </c>
    </row>
    <row r="4" customFormat="false" ht="14.25" hidden="false" customHeight="false" outlineLevel="0" collapsed="false">
      <c r="A4" s="2" t="s">
        <v>7</v>
      </c>
      <c r="B4" s="6" t="n">
        <v>1</v>
      </c>
      <c r="C4" s="0" t="s">
        <v>11</v>
      </c>
      <c r="D4" s="4" t="s">
        <v>9</v>
      </c>
      <c r="E4" s="5" t="n">
        <v>0.001</v>
      </c>
      <c r="F4" s="5" t="n">
        <f aca="false">+E4/$E$2*100</f>
        <v>0.642794149030538</v>
      </c>
      <c r="G4" s="4" t="s">
        <v>9</v>
      </c>
    </row>
    <row r="5" customFormat="false" ht="14.25" hidden="false" customHeight="false" outlineLevel="0" collapsed="false">
      <c r="A5" s="2" t="s">
        <v>7</v>
      </c>
      <c r="B5" s="7" t="n">
        <v>2</v>
      </c>
      <c r="C5" s="0" t="s">
        <v>8</v>
      </c>
      <c r="D5" s="4" t="s">
        <v>9</v>
      </c>
      <c r="E5" s="5" t="n">
        <v>0.1678945</v>
      </c>
      <c r="F5" s="4" t="s">
        <v>9</v>
      </c>
      <c r="G5" s="4" t="s">
        <v>9</v>
      </c>
    </row>
    <row r="6" customFormat="false" ht="14.25" hidden="false" customHeight="false" outlineLevel="0" collapsed="false">
      <c r="A6" s="2" t="s">
        <v>7</v>
      </c>
      <c r="B6" s="6" t="n">
        <v>2</v>
      </c>
      <c r="C6" s="0" t="s">
        <v>10</v>
      </c>
      <c r="D6" s="5" t="n">
        <v>0.185</v>
      </c>
      <c r="E6" s="5" t="n">
        <v>0.013</v>
      </c>
      <c r="F6" s="5" t="n">
        <f aca="false">+E6/E5*100</f>
        <v>7.74295763113145</v>
      </c>
      <c r="G6" s="5" t="n">
        <f aca="false">+E6/D6*100</f>
        <v>7.02702702702703</v>
      </c>
    </row>
    <row r="7" customFormat="false" ht="14.25" hidden="false" customHeight="false" outlineLevel="0" collapsed="false">
      <c r="A7" s="2" t="s">
        <v>7</v>
      </c>
      <c r="B7" s="6" t="n">
        <v>2</v>
      </c>
      <c r="C7" s="0" t="s">
        <v>11</v>
      </c>
      <c r="D7" s="4" t="s">
        <v>9</v>
      </c>
      <c r="E7" s="5" t="n">
        <v>0.004</v>
      </c>
      <c r="F7" s="5" t="n">
        <f aca="false">+E7/E5*100</f>
        <v>2.3824485018866</v>
      </c>
      <c r="G7" s="4" t="s">
        <v>9</v>
      </c>
    </row>
    <row r="8" customFormat="false" ht="14.25" hidden="false" customHeight="false" outlineLevel="0" collapsed="false">
      <c r="A8" s="2" t="s">
        <v>12</v>
      </c>
      <c r="B8" s="3" t="n">
        <v>1</v>
      </c>
      <c r="C8" s="0" t="s">
        <v>8</v>
      </c>
      <c r="D8" s="4" t="s">
        <v>9</v>
      </c>
      <c r="E8" s="5" t="n">
        <f aca="false">0.0385*5.045</f>
        <v>0.1942325</v>
      </c>
      <c r="F8" s="4" t="s">
        <v>9</v>
      </c>
      <c r="G8" s="4" t="s">
        <v>9</v>
      </c>
    </row>
    <row r="9" customFormat="false" ht="14.25" hidden="false" customHeight="false" outlineLevel="0" collapsed="false">
      <c r="A9" s="2" t="s">
        <v>12</v>
      </c>
      <c r="B9" s="6" t="n">
        <v>1</v>
      </c>
      <c r="C9" s="8" t="s">
        <v>13</v>
      </c>
      <c r="D9" s="5" t="n">
        <v>0.132</v>
      </c>
      <c r="E9" s="5" t="n">
        <v>0.011</v>
      </c>
      <c r="F9" s="5" t="n">
        <f aca="false">+E9/$E$8*100</f>
        <v>5.66331587144273</v>
      </c>
      <c r="G9" s="5" t="n">
        <f aca="false">+E9/D9*100</f>
        <v>8.33333333333333</v>
      </c>
    </row>
    <row r="10" customFormat="false" ht="14.25" hidden="false" customHeight="false" outlineLevel="0" collapsed="false">
      <c r="A10" s="2" t="s">
        <v>12</v>
      </c>
      <c r="B10" s="9" t="n">
        <v>1</v>
      </c>
      <c r="C10" s="0" t="s">
        <v>14</v>
      </c>
      <c r="D10" s="5" t="n">
        <v>0.183</v>
      </c>
      <c r="E10" s="5" t="n">
        <f aca="false">0.12/0.167*0.01</f>
        <v>0.00718562874251497</v>
      </c>
      <c r="F10" s="5" t="n">
        <f aca="false">+E10/$E$8*100</f>
        <v>3.69949866398001</v>
      </c>
      <c r="G10" s="5" t="n">
        <f aca="false">+E10/D10*100</f>
        <v>3.92657308334151</v>
      </c>
    </row>
    <row r="11" customFormat="false" ht="14.25" hidden="false" customHeight="false" outlineLevel="0" collapsed="false">
      <c r="A11" s="2" t="s">
        <v>12</v>
      </c>
      <c r="B11" s="9" t="n">
        <v>1</v>
      </c>
      <c r="C11" s="0" t="s">
        <v>10</v>
      </c>
      <c r="D11" s="5" t="n">
        <v>0.103</v>
      </c>
      <c r="E11" s="5" t="n">
        <v>0.047</v>
      </c>
      <c r="F11" s="5" t="n">
        <f aca="false">+E11/$E$8*100</f>
        <v>24.1978041779826</v>
      </c>
      <c r="G11" s="5" t="n">
        <f aca="false">+E11/D11*100</f>
        <v>45.6310679611651</v>
      </c>
    </row>
    <row r="12" customFormat="false" ht="14.25" hidden="false" customHeight="false" outlineLevel="0" collapsed="false">
      <c r="A12" s="2" t="s">
        <v>12</v>
      </c>
      <c r="B12" s="9" t="n">
        <v>1</v>
      </c>
      <c r="C12" s="0" t="s">
        <v>11</v>
      </c>
      <c r="D12" s="4" t="s">
        <v>9</v>
      </c>
      <c r="E12" s="5" t="n">
        <v>0.0015</v>
      </c>
      <c r="F12" s="10" t="n">
        <f aca="false">+E12/E8*100</f>
        <v>0.772270346105827</v>
      </c>
      <c r="G12" s="4" t="s">
        <v>9</v>
      </c>
    </row>
    <row r="13" customFormat="false" ht="14.25" hidden="false" customHeight="false" outlineLevel="0" collapsed="false">
      <c r="A13" s="2" t="s">
        <v>12</v>
      </c>
      <c r="B13" s="11" t="n">
        <v>2</v>
      </c>
      <c r="C13" s="0" t="s">
        <v>8</v>
      </c>
      <c r="D13" s="5" t="n">
        <v>5.006</v>
      </c>
      <c r="E13" s="5" t="n">
        <f aca="false">0.0307*5.006</f>
        <v>0.1536842</v>
      </c>
      <c r="F13" s="4" t="s">
        <v>9</v>
      </c>
      <c r="G13" s="4" t="s">
        <v>9</v>
      </c>
    </row>
    <row r="14" customFormat="false" ht="14.25" hidden="false" customHeight="false" outlineLevel="0" collapsed="false">
      <c r="A14" s="2" t="s">
        <v>12</v>
      </c>
      <c r="B14" s="6" t="n">
        <v>2</v>
      </c>
      <c r="C14" s="8" t="s">
        <v>13</v>
      </c>
      <c r="D14" s="5" t="n">
        <v>0.199</v>
      </c>
      <c r="E14" s="5" t="n">
        <v>0.021</v>
      </c>
      <c r="F14" s="5" t="n">
        <f aca="false">+E14/$E$13*100</f>
        <v>13.6643844975606</v>
      </c>
      <c r="G14" s="5" t="n">
        <f aca="false">+E14/D14*100</f>
        <v>10.5527638190955</v>
      </c>
    </row>
    <row r="15" customFormat="false" ht="14.25" hidden="false" customHeight="false" outlineLevel="0" collapsed="false">
      <c r="A15" s="2" t="s">
        <v>12</v>
      </c>
      <c r="B15" s="9" t="n">
        <v>2</v>
      </c>
      <c r="C15" s="0" t="s">
        <v>14</v>
      </c>
      <c r="D15" s="5" t="n">
        <v>0.101</v>
      </c>
      <c r="E15" s="5" t="n">
        <f aca="false">0.172/0.167*0.01</f>
        <v>0.0102994011976048</v>
      </c>
      <c r="F15" s="5" t="n">
        <f aca="false">+E15/$E$13*100</f>
        <v>6.70166562184323</v>
      </c>
      <c r="G15" s="5" t="n">
        <f aca="false">+E15/D15*100</f>
        <v>10.1974269283216</v>
      </c>
    </row>
    <row r="16" customFormat="false" ht="14.25" hidden="false" customHeight="false" outlineLevel="0" collapsed="false">
      <c r="A16" s="2" t="s">
        <v>12</v>
      </c>
      <c r="B16" s="9" t="n">
        <v>2</v>
      </c>
      <c r="C16" s="0" t="s">
        <v>10</v>
      </c>
      <c r="D16" s="5" t="n">
        <v>0.124</v>
      </c>
      <c r="E16" s="5" t="n">
        <v>0.039</v>
      </c>
      <c r="F16" s="5" t="n">
        <f aca="false">+E16/$E$13*100</f>
        <v>25.3767140668982</v>
      </c>
      <c r="G16" s="5" t="n">
        <f aca="false">+E16/D16*100</f>
        <v>31.4516129032258</v>
      </c>
    </row>
    <row r="17" customFormat="false" ht="14.25" hidden="false" customHeight="false" outlineLevel="0" collapsed="false">
      <c r="A17" s="2" t="s">
        <v>12</v>
      </c>
      <c r="B17" s="9" t="n">
        <v>2</v>
      </c>
      <c r="C17" s="0" t="s">
        <v>11</v>
      </c>
      <c r="D17" s="4" t="s">
        <v>9</v>
      </c>
      <c r="E17" s="5" t="n">
        <v>0.0012</v>
      </c>
      <c r="F17" s="12" t="n">
        <f aca="false">+E17/E13*100</f>
        <v>0.780821971289176</v>
      </c>
      <c r="G17" s="4" t="s">
        <v>9</v>
      </c>
    </row>
    <row r="18" customFormat="false" ht="14.25" hidden="false" customHeight="false" outlineLevel="0" collapsed="false">
      <c r="A18" s="2" t="s">
        <v>15</v>
      </c>
      <c r="B18" s="3" t="n">
        <v>1</v>
      </c>
      <c r="C18" s="0" t="s">
        <v>8</v>
      </c>
      <c r="D18" s="4" t="s">
        <v>9</v>
      </c>
      <c r="E18" s="5" t="n">
        <v>0.251</v>
      </c>
      <c r="F18" s="4" t="s">
        <v>9</v>
      </c>
      <c r="G18" s="4" t="s">
        <v>9</v>
      </c>
    </row>
    <row r="19" customFormat="false" ht="14.25" hidden="false" customHeight="false" outlineLevel="0" collapsed="false">
      <c r="A19" s="2" t="s">
        <v>15</v>
      </c>
      <c r="B19" s="9" t="n">
        <v>1</v>
      </c>
      <c r="C19" s="0" t="s">
        <v>10</v>
      </c>
      <c r="D19" s="5" t="n">
        <v>0.367</v>
      </c>
      <c r="E19" s="5" t="n">
        <f aca="false">0.11+0.021</f>
        <v>0.131</v>
      </c>
      <c r="F19" s="5" t="n">
        <f aca="false">+E19/$E$18*100</f>
        <v>52.191235059761</v>
      </c>
      <c r="G19" s="5" t="n">
        <f aca="false">+E19/D19*100</f>
        <v>35.6948228882834</v>
      </c>
    </row>
    <row r="20" customFormat="false" ht="14.25" hidden="false" customHeight="false" outlineLevel="0" collapsed="false">
      <c r="A20" s="2" t="s">
        <v>15</v>
      </c>
      <c r="B20" s="9" t="n">
        <v>1</v>
      </c>
      <c r="C20" s="0" t="s">
        <v>11</v>
      </c>
      <c r="D20" s="4" t="s">
        <v>9</v>
      </c>
      <c r="E20" s="5" t="n">
        <v>0.008</v>
      </c>
      <c r="F20" s="5" t="n">
        <f aca="false">+E20/$E$18*100</f>
        <v>3.18725099601594</v>
      </c>
      <c r="G20" s="4" t="s">
        <v>9</v>
      </c>
    </row>
    <row r="21" customFormat="false" ht="14.25" hidden="false" customHeight="false" outlineLevel="0" collapsed="false">
      <c r="A21" s="2" t="s">
        <v>15</v>
      </c>
      <c r="B21" s="11" t="n">
        <v>2</v>
      </c>
      <c r="C21" s="0" t="s">
        <v>8</v>
      </c>
      <c r="D21" s="4" t="s">
        <v>9</v>
      </c>
      <c r="E21" s="5" t="n">
        <v>0.274</v>
      </c>
      <c r="F21" s="4" t="s">
        <v>9</v>
      </c>
      <c r="G21" s="4" t="s">
        <v>9</v>
      </c>
    </row>
    <row r="22" customFormat="false" ht="14.25" hidden="false" customHeight="false" outlineLevel="0" collapsed="false">
      <c r="A22" s="2" t="s">
        <v>15</v>
      </c>
      <c r="B22" s="9" t="n">
        <v>2</v>
      </c>
      <c r="C22" s="0" t="s">
        <v>10</v>
      </c>
      <c r="D22" s="5" t="n">
        <v>0.33</v>
      </c>
      <c r="E22" s="5" t="n">
        <v>0.101</v>
      </c>
      <c r="F22" s="5" t="n">
        <f aca="false">+E22/$E$21*100</f>
        <v>36.8613138686131</v>
      </c>
      <c r="G22" s="5" t="n">
        <f aca="false">+E22/$D$22*100</f>
        <v>30.6060606060606</v>
      </c>
    </row>
    <row r="23" customFormat="false" ht="14.25" hidden="false" customHeight="false" outlineLevel="0" collapsed="false">
      <c r="A23" s="2" t="s">
        <v>15</v>
      </c>
      <c r="B23" s="9" t="n">
        <v>2</v>
      </c>
      <c r="C23" s="0" t="s">
        <v>11</v>
      </c>
      <c r="D23" s="4" t="s">
        <v>9</v>
      </c>
      <c r="E23" s="5" t="n">
        <v>0.005</v>
      </c>
      <c r="F23" s="5" t="n">
        <f aca="false">+E23/$E$21*100</f>
        <v>1.82481751824818</v>
      </c>
      <c r="G23" s="4" t="s">
        <v>9</v>
      </c>
    </row>
    <row r="24" customFormat="false" ht="14.25" hidden="false" customHeight="false" outlineLevel="0" collapsed="false">
      <c r="A24" s="2" t="s">
        <v>16</v>
      </c>
      <c r="B24" s="3" t="n">
        <v>1</v>
      </c>
      <c r="C24" s="0" t="s">
        <v>8</v>
      </c>
      <c r="D24" s="4" t="s">
        <v>9</v>
      </c>
      <c r="E24" s="5" t="n">
        <v>1.029</v>
      </c>
      <c r="F24" s="4" t="s">
        <v>9</v>
      </c>
      <c r="G24" s="4" t="s">
        <v>9</v>
      </c>
    </row>
    <row r="25" customFormat="false" ht="14.25" hidden="false" customHeight="false" outlineLevel="0" collapsed="false">
      <c r="A25" s="2" t="s">
        <v>16</v>
      </c>
      <c r="B25" s="11" t="n">
        <v>1</v>
      </c>
      <c r="C25" s="0" t="s">
        <v>10</v>
      </c>
      <c r="D25" s="5" t="n">
        <v>1.348</v>
      </c>
      <c r="E25" s="5" t="n">
        <v>0.774</v>
      </c>
      <c r="F25" s="5" t="n">
        <f aca="false">+E25/E24*100</f>
        <v>75.2186588921283</v>
      </c>
      <c r="G25" s="5" t="n">
        <f aca="false">+E25/D25*100</f>
        <v>57.4183976261128</v>
      </c>
    </row>
    <row r="26" customFormat="false" ht="14.25" hidden="false" customHeight="false" outlineLevel="0" collapsed="false">
      <c r="A26" s="2" t="s">
        <v>16</v>
      </c>
      <c r="B26" s="11" t="n">
        <v>1</v>
      </c>
      <c r="C26" s="0" t="s">
        <v>11</v>
      </c>
      <c r="D26" s="4" t="s">
        <v>9</v>
      </c>
      <c r="E26" s="5" t="n">
        <v>0.02</v>
      </c>
      <c r="F26" s="5" t="n">
        <f aca="false">+E26/E24*100</f>
        <v>1.94363459669582</v>
      </c>
      <c r="G26" s="5"/>
    </row>
    <row r="27" customFormat="false" ht="14.25" hidden="false" customHeight="false" outlineLevel="0" collapsed="false">
      <c r="A27" s="2" t="s">
        <v>16</v>
      </c>
      <c r="B27" s="11" t="n">
        <v>2</v>
      </c>
      <c r="C27" s="0" t="s">
        <v>8</v>
      </c>
      <c r="D27" s="4" t="s">
        <v>9</v>
      </c>
      <c r="E27" s="5" t="n">
        <v>0.912</v>
      </c>
      <c r="F27" s="4" t="s">
        <v>9</v>
      </c>
      <c r="G27" s="4" t="s">
        <v>9</v>
      </c>
    </row>
    <row r="28" customFormat="false" ht="14.25" hidden="false" customHeight="false" outlineLevel="0" collapsed="false">
      <c r="A28" s="2" t="s">
        <v>16</v>
      </c>
      <c r="B28" s="11" t="n">
        <v>2</v>
      </c>
      <c r="C28" s="0" t="s">
        <v>10</v>
      </c>
      <c r="D28" s="5" t="n">
        <v>1.175</v>
      </c>
      <c r="E28" s="5" t="n">
        <v>0.472</v>
      </c>
      <c r="F28" s="5" t="n">
        <f aca="false">+E28/E27*100</f>
        <v>51.7543859649123</v>
      </c>
      <c r="G28" s="5" t="n">
        <f aca="false">+F28/D28</f>
        <v>44.0462859275849</v>
      </c>
    </row>
    <row r="29" customFormat="false" ht="14.25" hidden="false" customHeight="false" outlineLevel="0" collapsed="false">
      <c r="A29" s="2" t="s">
        <v>16</v>
      </c>
      <c r="B29" s="11" t="n">
        <v>2</v>
      </c>
      <c r="C29" s="0" t="s">
        <v>11</v>
      </c>
      <c r="D29" s="4" t="s">
        <v>9</v>
      </c>
      <c r="E29" s="5" t="n">
        <v>0.02</v>
      </c>
      <c r="F29" s="5" t="n">
        <f aca="false">+E29/$E$27*100</f>
        <v>2.19298245614035</v>
      </c>
      <c r="G29" s="4" t="s">
        <v>9</v>
      </c>
    </row>
  </sheetData>
  <printOptions headings="false" gridLines="false" gridLinesSet="true" horizontalCentered="false" verticalCentered="false"/>
  <pageMargins left="0.7" right="0.7" top="0.3" bottom="0.3" header="0.511805555555555" footer="0.51180555555555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158</TotalTime>
  <Application>LibreOffice/7.1.5.2$Linux_X86_64 LibreOffice_project/10$Build-2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2019-12-25T10:45:33Z</dcterms:created>
  <dc:creator/>
  <dc:description/>
  <dc:language>en-US</dc:language>
  <cp:lastModifiedBy/>
  <dcterms:modified xsi:type="dcterms:W3CDTF">2021-08-25T12:51:05Z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